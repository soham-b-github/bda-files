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L" sheetId="1" state="visible" r:id="rId3"/>
    <sheet name="DSA" sheetId="2" state="visible" r:id="rId4"/>
    <sheet name="Stat-1" sheetId="3" state="visible" r:id="rId5"/>
    <sheet name="PSP" sheetId="4" state="visible" r:id="rId6"/>
    <sheet name="JH" sheetId="5" state="visible" r:id="rId7"/>
    <sheet name="Week-Count" sheetId="6" state="visible" r:id="rId8"/>
    <sheet name="Timetab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<sst xmlns="http://schemas.openxmlformats.org/spreadsheetml/2006/main" count="108" uniqueCount="69">
  <si>
    <t xml:space="preserve">Exam Date</t>
  </si>
  <si>
    <t xml:space="preserve">Exam #</t>
  </si>
  <si>
    <t xml:space="preserve">Syllabus</t>
  </si>
  <si>
    <t xml:space="preserve">Marks</t>
  </si>
  <si>
    <t xml:space="preserve">Full Marks</t>
  </si>
  <si>
    <t xml:space="preserve">Grade</t>
  </si>
  <si>
    <t xml:space="preserve">CT-1</t>
  </si>
  <si>
    <t xml:space="preserve">till L06 (as taken)</t>
  </si>
  <si>
    <t xml:space="preserve">Quiz and assignments</t>
  </si>
  <si>
    <t xml:space="preserve">Lab-02</t>
  </si>
  <si>
    <t xml:space="preserve">Classwork Lab Work</t>
  </si>
  <si>
    <t xml:space="preserve">Final Project</t>
  </si>
  <si>
    <t xml:space="preserve">MidTerm</t>
  </si>
  <si>
    <t xml:space="preserve">till regression</t>
  </si>
  <si>
    <t xml:space="preserve">MidTerm Exam</t>
  </si>
  <si>
    <t xml:space="preserve">Lab-03</t>
  </si>
  <si>
    <t xml:space="preserve">Final Exam</t>
  </si>
  <si>
    <t xml:space="preserve">Lab-04</t>
  </si>
  <si>
    <t xml:space="preserve">MidTerm QP output questions</t>
  </si>
  <si>
    <t xml:space="preserve">Participation and Attendance</t>
  </si>
  <si>
    <t xml:space="preserve">Lab-01</t>
  </si>
  <si>
    <t xml:space="preserve">Lab-05</t>
  </si>
  <si>
    <t xml:space="preserve">23rd August 2024</t>
  </si>
  <si>
    <t xml:space="preserve">Python Programming</t>
  </si>
  <si>
    <t xml:space="preserve">4th Nov 2024</t>
  </si>
  <si>
    <t xml:space="preserve">CT-2</t>
  </si>
  <si>
    <t xml:space="preserve">Linear DSAs</t>
  </si>
  <si>
    <t xml:space="preserve">till Gini’s Coefficient</t>
  </si>
  <si>
    <t xml:space="preserve">Midterm</t>
  </si>
  <si>
    <t xml:space="preserve">Sampling, Point Estimation upto Sufficiency</t>
  </si>
  <si>
    <t xml:space="preserve">Practical</t>
  </si>
  <si>
    <t xml:space="preserve">R-programming</t>
  </si>
  <si>
    <t xml:space="preserve">Pre-start Date</t>
  </si>
  <si>
    <t xml:space="preserve">Start Date</t>
  </si>
  <si>
    <t xml:space="preserve">End Date</t>
  </si>
  <si>
    <t xml:space="preserve">Date</t>
  </si>
  <si>
    <t xml:space="preserve">Current Week</t>
  </si>
  <si>
    <t xml:space="preserve">Total Weeks</t>
  </si>
  <si>
    <t xml:space="preserve">Weeks Left</t>
  </si>
  <si>
    <t xml:space="preserve">Semester – 1</t>
  </si>
  <si>
    <t xml:space="preserve">Recess</t>
  </si>
  <si>
    <t xml:space="preserve">BDA+CS</t>
  </si>
  <si>
    <t xml:space="preserve">10:30-12:30pm</t>
  </si>
  <si>
    <t xml:space="preserve">12:30-2:30pm</t>
  </si>
  <si>
    <t xml:space="preserve">2:30-3pm</t>
  </si>
  <si>
    <t xml:space="preserve">3:00-5:00pm</t>
  </si>
  <si>
    <t xml:space="preserve">Monday</t>
  </si>
  <si>
    <t xml:space="preserve">DSA / TOC</t>
  </si>
  <si>
    <t xml:space="preserve">Stat-1</t>
  </si>
  <si>
    <t xml:space="preserve">R</t>
  </si>
  <si>
    <t xml:space="preserve">LAMC</t>
  </si>
  <si>
    <t xml:space="preserve">Tuesday</t>
  </si>
  <si>
    <t xml:space="preserve">PSP</t>
  </si>
  <si>
    <t xml:space="preserve">UHV</t>
  </si>
  <si>
    <t xml:space="preserve">E</t>
  </si>
  <si>
    <t xml:space="preserve">Python Lab / DAA</t>
  </si>
  <si>
    <t xml:space="preserve">Wednesday</t>
  </si>
  <si>
    <t xml:space="preserve">ML</t>
  </si>
  <si>
    <t xml:space="preserve">English</t>
  </si>
  <si>
    <t xml:space="preserve">C</t>
  </si>
  <si>
    <t xml:space="preserve">Seminar</t>
  </si>
  <si>
    <t xml:space="preserve">Thursday</t>
  </si>
  <si>
    <t xml:space="preserve">JH / TOC</t>
  </si>
  <si>
    <t xml:space="preserve">Friday</t>
  </si>
  <si>
    <t xml:space="preserve">--- / DAA</t>
  </si>
  <si>
    <t xml:space="preserve">S</t>
  </si>
  <si>
    <t xml:space="preserve">DSA / ---</t>
  </si>
  <si>
    <t xml:space="preserve">Saturday</t>
  </si>
  <si>
    <t xml:space="preserve">JH / ---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</si>
</sst>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0%"/>
    <numFmt numFmtId="167" formatCode="0.00%"/>
    <numFmt numFmtId="168" formatCode="mm/dd/yy"/>
    <numFmt numFmtId="169" formatCode="mm/dd/yy\ hh:mm\ AM/PM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imbus Roman"/>
      <family val="0"/>
      <charset val="1"/>
    </font>
    <font>
      <b val="true"/>
      <sz val="11"/>
      <color theme="1"/>
      <name val="Nimbus Roman"/>
      <family val="0"/>
      <charset val="1"/>
    </font>
    <font>
      <sz val="21"/>
      <color theme="1"/>
      <name val="Calibri"/>
      <family val="2"/>
      <charset val="1"/>
    </font>
    <font>
      <b val="true"/>
      <sz val="21"/>
      <color theme="1"/>
      <name val="Calibri"/>
      <family val="2"/>
      <charset val="1"/>
    </font>
    <font>
      <i val="true"/>
      <sz val="11"/>
      <color theme="1"/>
      <name val="Nimbus Roman"/>
      <family val="0"/>
      <charset val="1"/>
    </font>
    <font>
      <sz val="11"/>
      <color rgb="FFBF0041"/>
      <name val="Nimbus Roman"/>
      <family val="0"/>
      <charset val="1"/>
    </font>
    <font>
      <sz val="11"/>
      <color rgb="FF2A6099"/>
      <name val="Nimbus Roman"/>
      <family val="0"/>
      <charset val="1"/>
    </font>
    <font>
      <sz val="11"/>
      <color rgb="FF00A933"/>
      <name val="Nimbus Roman"/>
      <family val="0"/>
      <charset val="1"/>
    </font>
    <font>
      <sz val="11"/>
      <color rgb="FFFF8000"/>
      <name val="Nimbus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7" headerRowCount="1" totalsRowCount="0" totalsRowShown="0">
  <autoFilter ref="A1:F7"/>
  <tableColumns count="6">
    <tableColumn id="1" name="Exam Date"/>
    <tableColumn id="2" name="Exam #"/>
    <tableColumn id="3" name="Syllabus"/>
    <tableColumn id="4" name="Marks"/>
    <tableColumn id="5" name="Full Marks"/>
    <tableColumn id="6" name="Gr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" activeCellId="0" sqref="A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2" width="12.73"/>
    <col collapsed="false" customWidth="true" hidden="false" outlineLevel="0" max="3" min="3" style="2" width="30.82"/>
    <col collapsed="false" customWidth="true" hidden="false" outlineLevel="0" max="4" min="4" style="2" width="12.73"/>
    <col collapsed="false" customWidth="true" hidden="false" outlineLevel="0" max="5" min="5" style="2" width="12.18"/>
    <col collapsed="false" customWidth="true" hidden="false" outlineLevel="0" max="6" min="6" style="2" width="21.45"/>
    <col collapsed="false" customWidth="true" hidden="false" outlineLevel="0" max="7" min="7" style="2" width="19.27"/>
    <col collapsed="false" customWidth="true" hidden="false" outlineLevel="0" max="8" min="8" style="2" width="19.73"/>
    <col collapsed="false" customWidth="true" hidden="false" outlineLevel="0" max="9" min="9" style="2" width="26.18"/>
    <col collapsed="false" customWidth="true" hidden="false" outlineLevel="0" max="10" min="10" style="2" width="11.27"/>
    <col collapsed="false" customWidth="true" hidden="false" outlineLevel="0" max="12" min="11" style="2" width="13.45"/>
    <col collapsed="false" customWidth="false" hidden="false" outlineLevel="0" max="16383" min="14" style="2" width="8.54"/>
    <col collapsed="false" customWidth="true" hidden="false" outlineLevel="0" max="16384" min="16384" style="2" width="10.18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Format="false" ht="14.25" hidden="false" customHeight="false" outlineLevel="0" collapsed="false">
      <c r="A2" s="1" t="n">
        <v>45521</v>
      </c>
      <c r="B2" s="2" t="s">
        <v>6</v>
      </c>
      <c r="C2" s="2" t="s">
        <v>7</v>
      </c>
      <c r="D2" s="2" t="n">
        <v>16.67</v>
      </c>
      <c r="E2" s="2" t="n">
        <v>25</v>
      </c>
      <c r="F2" s="5" t="n">
        <f aca="false">D2/E2</f>
        <v>0.6668</v>
      </c>
      <c r="I2" s="2" t="s">
        <v>8</v>
      </c>
      <c r="J2" s="5" t="n">
        <v>0.2</v>
      </c>
    </row>
    <row r="3" customFormat="false" ht="14.25" hidden="false" customHeight="false" outlineLevel="0" collapsed="false">
      <c r="A3" s="1" t="n">
        <v>45539</v>
      </c>
      <c r="B3" s="2" t="s">
        <v>9</v>
      </c>
      <c r="C3" s="2" t="s">
        <v>10</v>
      </c>
      <c r="D3" s="2" t="n">
        <v>100</v>
      </c>
      <c r="E3" s="2" t="n">
        <v>100</v>
      </c>
      <c r="F3" s="5" t="n">
        <f aca="false">D3/E3</f>
        <v>1</v>
      </c>
      <c r="I3" s="2" t="s">
        <v>11</v>
      </c>
      <c r="J3" s="5" t="n">
        <v>0.25</v>
      </c>
    </row>
    <row r="4" customFormat="false" ht="14.25" hidden="false" customHeight="false" outlineLevel="0" collapsed="false">
      <c r="A4" s="1" t="n">
        <v>45557</v>
      </c>
      <c r="B4" s="2" t="s">
        <v>12</v>
      </c>
      <c r="C4" s="2" t="s">
        <v>13</v>
      </c>
      <c r="D4" s="2" t="n">
        <v>78</v>
      </c>
      <c r="E4" s="2" t="n">
        <v>100</v>
      </c>
      <c r="F4" s="5" t="n">
        <f aca="false">D4/E4</f>
        <v>0.78</v>
      </c>
      <c r="I4" s="2" t="s">
        <v>14</v>
      </c>
      <c r="J4" s="5" t="n">
        <v>0.2</v>
      </c>
    </row>
    <row r="5" customFormat="false" ht="14.25" hidden="false" customHeight="false" outlineLevel="0" collapsed="false">
      <c r="A5" s="1" t="n">
        <v>45563</v>
      </c>
      <c r="B5" s="2" t="s">
        <v>15</v>
      </c>
      <c r="C5" s="2" t="s">
        <v>10</v>
      </c>
      <c r="D5" s="2" t="n">
        <v>100</v>
      </c>
      <c r="E5" s="2" t="n">
        <v>100</v>
      </c>
      <c r="F5" s="5" t="n">
        <f aca="false">D5/E5</f>
        <v>1</v>
      </c>
      <c r="I5" s="2" t="s">
        <v>16</v>
      </c>
      <c r="J5" s="5" t="n">
        <v>0.3</v>
      </c>
    </row>
    <row r="6" customFormat="false" ht="14.25" hidden="false" customHeight="false" outlineLevel="0" collapsed="false">
      <c r="A6" s="1" t="n">
        <v>45596</v>
      </c>
      <c r="B6" s="2" t="s">
        <v>17</v>
      </c>
      <c r="C6" s="2" t="s">
        <v>18</v>
      </c>
      <c r="E6" s="2" t="n">
        <v>100</v>
      </c>
      <c r="I6" s="2" t="s">
        <v>19</v>
      </c>
      <c r="J6" s="5" t="n">
        <v>0.05</v>
      </c>
    </row>
    <row r="7" customFormat="false" ht="14.25" hidden="false" customHeight="false" outlineLevel="0" collapsed="false">
      <c r="B7" s="2" t="s">
        <v>20</v>
      </c>
      <c r="C7" s="2" t="s">
        <v>10</v>
      </c>
      <c r="D7" s="2" t="n">
        <v>100</v>
      </c>
      <c r="E7" s="2" t="n">
        <v>100</v>
      </c>
      <c r="F7" s="5" t="n">
        <f aca="false">D7/E7</f>
        <v>1</v>
      </c>
    </row>
    <row r="8" customFormat="false" ht="14.25" hidden="false" customHeight="false" outlineLevel="0" collapsed="false">
      <c r="B8" s="2" t="s">
        <v>21</v>
      </c>
      <c r="C8" s="2" t="s">
        <v>10</v>
      </c>
      <c r="D8" s="2" t="n">
        <v>0</v>
      </c>
      <c r="E8" s="2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ColWidth="8.54296875" defaultRowHeight="14.25" zeroHeight="false" outlineLevelRow="0" outlineLevelCol="0"/>
  <cols>
    <col collapsed="false" customWidth="true" hidden="false" outlineLevel="0" max="1" min="1" style="6" width="20.45"/>
    <col collapsed="false" customWidth="true" hidden="false" outlineLevel="0" max="2" min="2" style="6" width="12.27"/>
    <col collapsed="false" customWidth="true" hidden="false" outlineLevel="0" max="3" min="3" style="6" width="29.27"/>
    <col collapsed="false" customWidth="false" hidden="false" outlineLevel="0" max="4" min="4" style="6" width="8.54"/>
    <col collapsed="false" customWidth="true" hidden="false" outlineLevel="0" max="5" min="5" style="6" width="14.18"/>
    <col collapsed="false" customWidth="false" hidden="false" outlineLevel="0" max="6" min="6" style="7" width="8.54"/>
    <col collapsed="false" customWidth="false" hidden="false" outlineLevel="0" max="16383" min="8" style="2" width="8.54"/>
    <col collapsed="false" customWidth="true" hidden="false" outlineLevel="0" max="16384" min="16384" style="2" width="10.18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</row>
    <row r="2" customFormat="false" ht="14.25" hidden="false" customHeight="false" outlineLevel="0" collapsed="false">
      <c r="A2" s="9" t="s">
        <v>22</v>
      </c>
      <c r="B2" s="6" t="s">
        <v>6</v>
      </c>
      <c r="C2" s="6" t="s">
        <v>23</v>
      </c>
      <c r="D2" s="6" t="n">
        <v>10.5</v>
      </c>
      <c r="E2" s="6" t="n">
        <v>15</v>
      </c>
      <c r="F2" s="7" t="n">
        <f aca="false">D2/E2</f>
        <v>0.7</v>
      </c>
    </row>
    <row r="3" customFormat="false" ht="14.25" hidden="false" customHeight="false" outlineLevel="0" collapsed="false">
      <c r="A3" s="6" t="s">
        <v>24</v>
      </c>
      <c r="B3" s="6" t="s">
        <v>25</v>
      </c>
      <c r="C3" s="6" t="s">
        <v>26</v>
      </c>
      <c r="E3" s="6" t="n">
        <v>20</v>
      </c>
    </row>
    <row r="4" customFormat="false" ht="14.25" hidden="false" customHeight="false" outlineLevel="0" collapsed="false">
      <c r="B4" s="6" t="s">
        <v>12</v>
      </c>
      <c r="C4" s="6" t="s">
        <v>23</v>
      </c>
      <c r="D4" s="6" t="n">
        <v>46.5</v>
      </c>
      <c r="E4" s="6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5" activeCellId="0" sqref="F5"/>
    </sheetView>
  </sheetViews>
  <sheetFormatPr defaultColWidth="8.54296875" defaultRowHeight="14.25" zeroHeight="false" outlineLevelRow="0" outlineLevelCol="0"/>
  <cols>
    <col collapsed="false" customWidth="true" hidden="false" outlineLevel="0" max="1" min="1" style="6" width="12.45"/>
    <col collapsed="false" customWidth="true" hidden="false" outlineLevel="0" max="2" min="2" style="6" width="8.82"/>
    <col collapsed="false" customWidth="true" hidden="false" outlineLevel="0" max="3" min="3" style="6" width="34.29"/>
    <col collapsed="false" customWidth="false" hidden="false" outlineLevel="0" max="4" min="4" style="6" width="8.54"/>
    <col collapsed="false" customWidth="true" hidden="false" outlineLevel="0" max="5" min="5" style="6" width="11.73"/>
    <col collapsed="false" customWidth="true" hidden="false" outlineLevel="0" max="6" min="6" style="7" width="9.54"/>
    <col collapsed="false" customWidth="false" hidden="false" outlineLevel="0" max="16383" min="8" style="2" width="8.54"/>
    <col collapsed="false" customWidth="true" hidden="false" outlineLevel="0" max="16384" min="16384" style="2" width="10.18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</row>
    <row r="2" customFormat="false" ht="14.25" hidden="false" customHeight="false" outlineLevel="0" collapsed="false">
      <c r="A2" s="9" t="n">
        <f aca="false">DATE(2024,9,2)</f>
        <v>45537</v>
      </c>
      <c r="B2" s="6" t="s">
        <v>6</v>
      </c>
      <c r="C2" s="6" t="s">
        <v>27</v>
      </c>
      <c r="D2" s="6" t="n">
        <v>10</v>
      </c>
      <c r="E2" s="6" t="n">
        <v>10</v>
      </c>
      <c r="F2" s="7" t="n">
        <f aca="false">D2/E2</f>
        <v>1</v>
      </c>
    </row>
    <row r="3" customFormat="false" ht="14.25" hidden="false" customHeight="false" outlineLevel="0" collapsed="false">
      <c r="B3" s="6" t="s">
        <v>28</v>
      </c>
      <c r="D3" s="6" t="n">
        <v>16</v>
      </c>
      <c r="E3" s="6" t="n">
        <v>60</v>
      </c>
      <c r="F3" s="7" t="n">
        <f aca="false">D3/E3</f>
        <v>0.266666666666667</v>
      </c>
    </row>
    <row r="4" customFormat="false" ht="14.25" hidden="false" customHeight="false" outlineLevel="0" collapsed="false">
      <c r="B4" s="6" t="s">
        <v>25</v>
      </c>
      <c r="C4" s="6" t="s">
        <v>29</v>
      </c>
      <c r="D4" s="6" t="n">
        <v>12</v>
      </c>
      <c r="E4" s="6" t="n">
        <v>13</v>
      </c>
      <c r="F4" s="7" t="n">
        <f aca="false">D4/E4</f>
        <v>0.923076923076923</v>
      </c>
    </row>
    <row r="5" customFormat="false" ht="14.25" hidden="false" customHeight="false" outlineLevel="0" collapsed="false">
      <c r="B5" s="6" t="s">
        <v>30</v>
      </c>
      <c r="C5" s="6" t="s">
        <v>31</v>
      </c>
      <c r="D5" s="6" t="n">
        <v>5</v>
      </c>
      <c r="E5" s="6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4" activeCellId="0" sqref="H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6" width="12.45"/>
    <col collapsed="false" customWidth="true" hidden="false" outlineLevel="0" max="2" min="2" style="6" width="8.82"/>
    <col collapsed="false" customWidth="true" hidden="false" outlineLevel="0" max="3" min="3" style="6" width="17.27"/>
    <col collapsed="false" customWidth="false" hidden="false" outlineLevel="0" max="4" min="4" style="6" width="8.54"/>
    <col collapsed="false" customWidth="true" hidden="false" outlineLevel="0" max="5" min="5" style="6" width="11.73"/>
    <col collapsed="false" customWidth="false" hidden="false" outlineLevel="0" max="6" min="6" style="7" width="8.54"/>
    <col collapsed="false" customWidth="false" hidden="false" outlineLevel="0" max="16383" min="8" style="2" width="8.54"/>
    <col collapsed="false" customWidth="true" hidden="false" outlineLevel="0" max="16384" min="16384" style="2" width="10.18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</row>
    <row r="2" customFormat="false" ht="14.25" hidden="false" customHeight="false" outlineLevel="0" collapsed="false">
      <c r="A2" s="9"/>
      <c r="B2" s="6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7" activeCellId="0" sqref="L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6" width="12.45"/>
    <col collapsed="false" customWidth="true" hidden="false" outlineLevel="0" max="2" min="2" style="6" width="8.82"/>
    <col collapsed="false" customWidth="true" hidden="false" outlineLevel="0" max="3" min="3" style="6" width="17.27"/>
    <col collapsed="false" customWidth="false" hidden="false" outlineLevel="0" max="4" min="4" style="6" width="8.54"/>
    <col collapsed="false" customWidth="true" hidden="false" outlineLevel="0" max="5" min="5" style="6" width="11.73"/>
    <col collapsed="false" customWidth="false" hidden="false" outlineLevel="0" max="6" min="6" style="7" width="8.54"/>
    <col collapsed="false" customWidth="false" hidden="false" outlineLevel="0" max="16383" min="8" style="2" width="8.54"/>
    <col collapsed="false" customWidth="true" hidden="false" outlineLevel="0" max="16384" min="16384" style="2" width="10.18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</row>
    <row r="2" customFormat="false" ht="14.25" hidden="false" customHeight="false" outlineLevel="0" collapsed="false">
      <c r="A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0" activeCellId="0" sqref="B10"/>
    </sheetView>
  </sheetViews>
  <sheetFormatPr defaultColWidth="10.18359375" defaultRowHeight="14.25" zeroHeight="false" outlineLevelRow="0" outlineLevelCol="0"/>
  <cols>
    <col collapsed="false" customWidth="true" hidden="false" outlineLevel="0" max="1" min="1" style="10" width="24.27"/>
    <col collapsed="false" customWidth="true" hidden="false" outlineLevel="0" max="2" min="2" style="10" width="34.18"/>
    <col collapsed="false" customWidth="true" hidden="false" outlineLevel="0" max="4" min="4" style="10" width="29.54"/>
    <col collapsed="false" customWidth="true" hidden="false" outlineLevel="0" max="5" min="5" style="11" width="17.73"/>
    <col collapsed="false" customWidth="true" hidden="false" outlineLevel="0" max="6" min="6" style="10" width="29.18"/>
  </cols>
  <sheetData>
    <row r="1" customFormat="false" ht="14.25" hidden="false" customHeight="false" outlineLevel="0" collapsed="false">
      <c r="D1" s="10" t="s">
        <v>32</v>
      </c>
      <c r="E1" s="11" t="n">
        <f aca="false">DATE(2024,7,21)</f>
        <v>45494</v>
      </c>
    </row>
    <row r="2" customFormat="false" ht="14.25" hidden="false" customHeight="false" outlineLevel="0" collapsed="false">
      <c r="D2" s="10" t="s">
        <v>33</v>
      </c>
      <c r="E2" s="11" t="n">
        <f aca="false">DATE(2024,7,22)</f>
        <v>45495</v>
      </c>
    </row>
    <row r="3" customFormat="false" ht="14.25" hidden="false" customHeight="false" outlineLevel="0" collapsed="false">
      <c r="D3" s="10" t="s">
        <v>34</v>
      </c>
      <c r="E3" s="11" t="n">
        <f aca="false">DATE(2026,6,30)</f>
        <v>46203</v>
      </c>
    </row>
    <row r="6" customFormat="false" ht="25.6" hidden="false" customHeight="false" outlineLevel="0" collapsed="false">
      <c r="A6" s="12" t="s">
        <v>35</v>
      </c>
      <c r="B6" s="13" t="n">
        <f aca="true">NOW()</f>
        <v>45623.7801768718</v>
      </c>
    </row>
    <row r="9" customFormat="false" ht="25.6" hidden="false" customHeight="false" outlineLevel="0" collapsed="false">
      <c r="B9" s="14" t="s">
        <v>36</v>
      </c>
      <c r="C9" s="14"/>
      <c r="D9" s="14" t="s">
        <v>37</v>
      </c>
      <c r="E9" s="15"/>
      <c r="F9" s="14" t="s">
        <v>38</v>
      </c>
    </row>
    <row r="10" customFormat="false" ht="25.6" hidden="false" customHeight="false" outlineLevel="0" collapsed="false">
      <c r="B10" s="16" t="n">
        <f aca="false">WEEKNUM(B6,1)-WEEKNUM(E2,1)</f>
        <v>18</v>
      </c>
      <c r="C10" s="16"/>
      <c r="D10" s="16" t="n">
        <v>97</v>
      </c>
      <c r="E10" s="17"/>
      <c r="F10" s="16" t="n">
        <f aca="false">D10-B10</f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K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25" activeCellId="0" sqref="I25"/>
    </sheetView>
  </sheetViews>
  <sheetFormatPr defaultColWidth="10.18359375" defaultRowHeight="13.5" zeroHeight="false" outlineLevelRow="0" outlineLevelCol="0"/>
  <cols>
    <col collapsed="false" customWidth="false" hidden="false" outlineLevel="0" max="6" min="1" style="2" width="10.18"/>
    <col collapsed="false" customWidth="true" hidden="false" outlineLevel="0" max="7" min="7" style="2" width="11.27"/>
    <col collapsed="false" customWidth="true" hidden="false" outlineLevel="0" max="8" min="8" style="2" width="14"/>
    <col collapsed="false" customWidth="true" hidden="false" outlineLevel="0" max="9" min="9" style="2" width="13"/>
    <col collapsed="false" customWidth="true" hidden="false" outlineLevel="0" max="10" min="10" style="2" width="10"/>
    <col collapsed="false" customWidth="true" hidden="false" outlineLevel="0" max="11" min="11" style="2" width="15.45"/>
    <col collapsed="false" customWidth="false" hidden="false" outlineLevel="0" max="16384" min="12" style="2" width="10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G3" s="2" t="s">
        <v>39</v>
      </c>
      <c r="H3" s="6"/>
      <c r="I3" s="6"/>
      <c r="J3" s="18" t="s">
        <v>40</v>
      </c>
      <c r="K3" s="6"/>
    </row>
    <row r="4" customFormat="false" ht="13.8" hidden="false" customHeight="false" outlineLevel="0" collapsed="false">
      <c r="G4" s="19" t="s">
        <v>41</v>
      </c>
      <c r="H4" s="4" t="s">
        <v>42</v>
      </c>
      <c r="I4" s="4" t="s">
        <v>43</v>
      </c>
      <c r="J4" s="4" t="s">
        <v>44</v>
      </c>
      <c r="K4" s="4" t="s">
        <v>45</v>
      </c>
    </row>
    <row r="5" customFormat="false" ht="13.8" hidden="false" customHeight="false" outlineLevel="0" collapsed="false">
      <c r="G5" s="19" t="s">
        <v>46</v>
      </c>
      <c r="H5" s="20" t="s">
        <v>47</v>
      </c>
      <c r="I5" s="20" t="s">
        <v>48</v>
      </c>
      <c r="J5" s="4" t="s">
        <v>49</v>
      </c>
      <c r="K5" s="20" t="s">
        <v>50</v>
      </c>
    </row>
    <row r="6" customFormat="false" ht="13.8" hidden="false" customHeight="false" outlineLevel="0" collapsed="false">
      <c r="G6" s="19" t="s">
        <v>51</v>
      </c>
      <c r="H6" s="21" t="s">
        <v>52</v>
      </c>
      <c r="I6" s="21" t="s">
        <v>53</v>
      </c>
      <c r="J6" s="4" t="s">
        <v>54</v>
      </c>
      <c r="K6" s="21" t="s">
        <v>55</v>
      </c>
    </row>
    <row r="7" customFormat="false" ht="13.8" hidden="false" customHeight="false" outlineLevel="0" collapsed="false">
      <c r="G7" s="19" t="s">
        <v>56</v>
      </c>
      <c r="H7" s="22" t="s">
        <v>57</v>
      </c>
      <c r="I7" s="22" t="s">
        <v>58</v>
      </c>
      <c r="J7" s="4" t="s">
        <v>59</v>
      </c>
      <c r="K7" s="22" t="s">
        <v>60</v>
      </c>
    </row>
    <row r="8" customFormat="false" ht="13.8" hidden="false" customHeight="false" outlineLevel="0" collapsed="false">
      <c r="G8" s="19" t="s">
        <v>61</v>
      </c>
      <c r="H8" s="23" t="s">
        <v>52</v>
      </c>
      <c r="I8" s="23" t="s">
        <v>48</v>
      </c>
      <c r="J8" s="4" t="s">
        <v>54</v>
      </c>
      <c r="K8" s="23" t="s">
        <v>62</v>
      </c>
    </row>
    <row r="9" customFormat="false" ht="13.8" hidden="false" customHeight="false" outlineLevel="0" collapsed="false">
      <c r="G9" s="19" t="s">
        <v>63</v>
      </c>
      <c r="H9" s="20" t="s">
        <v>50</v>
      </c>
      <c r="I9" s="20" t="s">
        <v>64</v>
      </c>
      <c r="J9" s="4" t="s">
        <v>65</v>
      </c>
      <c r="K9" s="20" t="s">
        <v>66</v>
      </c>
    </row>
    <row r="10" customFormat="false" ht="13.8" hidden="false" customHeight="false" outlineLevel="0" collapsed="false">
      <c r="G10" s="19" t="s">
        <v>67</v>
      </c>
      <c r="H10" s="21" t="s">
        <v>57</v>
      </c>
      <c r="I10" s="21" t="s">
        <v>68</v>
      </c>
      <c r="J10" s="4" t="s">
        <v>65</v>
      </c>
      <c r="K1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2024-11-27T18:43:26Z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